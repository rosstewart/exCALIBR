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416"/>
  <workbookPr showInkAnnotation="0" autoCompressPictures="0"/>
  <bookViews>
    <workbookView xWindow="17720" yWindow="20" windowWidth="26440" windowHeight="26200" tabRatio="500"/>
  </bookViews>
  <sheets>
    <sheet name="ACMG_.10" sheetId="4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14" i="4" l="1"/>
  <c r="H17" i="4"/>
  <c r="H69" i="4"/>
  <c r="G14" i="4"/>
  <c r="G17" i="4"/>
  <c r="G69" i="4"/>
  <c r="F14" i="4"/>
  <c r="F17" i="4"/>
  <c r="F69" i="4"/>
  <c r="E14" i="4"/>
  <c r="E17" i="4"/>
  <c r="E69" i="4"/>
  <c r="H64" i="4"/>
  <c r="G64" i="4"/>
  <c r="F64" i="4"/>
  <c r="E64" i="4"/>
  <c r="J65" i="4"/>
  <c r="K65" i="4"/>
  <c r="F57" i="4"/>
  <c r="H57" i="4"/>
  <c r="E57" i="4"/>
  <c r="E52" i="4"/>
  <c r="F52" i="4"/>
  <c r="G52" i="4"/>
  <c r="H52" i="4"/>
  <c r="G57" i="4"/>
  <c r="J53" i="4"/>
  <c r="K53" i="4"/>
  <c r="F19" i="4"/>
  <c r="H19" i="4"/>
  <c r="J19" i="4"/>
  <c r="C16" i="4"/>
  <c r="C19" i="4"/>
  <c r="K19" i="4"/>
  <c r="C20" i="4"/>
  <c r="G20" i="4"/>
  <c r="F20" i="4"/>
  <c r="J20" i="4"/>
  <c r="K20" i="4"/>
  <c r="C21" i="4"/>
  <c r="G21" i="4"/>
  <c r="E21" i="4"/>
  <c r="J21" i="4"/>
  <c r="K21" i="4"/>
  <c r="C22" i="4"/>
  <c r="F22" i="4"/>
  <c r="J22" i="4"/>
  <c r="K22" i="4"/>
  <c r="C23" i="4"/>
  <c r="F23" i="4"/>
  <c r="E23" i="4"/>
  <c r="J23" i="4"/>
  <c r="K23" i="4"/>
  <c r="C24" i="4"/>
  <c r="F24" i="4"/>
  <c r="E24" i="4"/>
  <c r="J24" i="4"/>
  <c r="K24" i="4"/>
  <c r="M19" i="4"/>
  <c r="M20" i="4"/>
  <c r="M21" i="4"/>
  <c r="M22" i="4"/>
  <c r="M23" i="4"/>
  <c r="M24" i="4"/>
  <c r="N24" i="4"/>
  <c r="C26" i="4"/>
  <c r="G26" i="4"/>
  <c r="H26" i="4"/>
  <c r="J26" i="4"/>
  <c r="K26" i="4"/>
  <c r="C27" i="4"/>
  <c r="H27" i="4"/>
  <c r="F27" i="4"/>
  <c r="J27" i="4"/>
  <c r="K27" i="4"/>
  <c r="C28" i="4"/>
  <c r="H28" i="4"/>
  <c r="F28" i="4"/>
  <c r="E28" i="4"/>
  <c r="J28" i="4"/>
  <c r="K28" i="4"/>
  <c r="C29" i="4"/>
  <c r="H29" i="4"/>
  <c r="E29" i="4"/>
  <c r="J29" i="4"/>
  <c r="K29" i="4"/>
  <c r="C30" i="4"/>
  <c r="G30" i="4"/>
  <c r="J30" i="4"/>
  <c r="K30" i="4"/>
  <c r="C31" i="4"/>
  <c r="G31" i="4"/>
  <c r="F31" i="4"/>
  <c r="J31" i="4"/>
  <c r="K31" i="4"/>
  <c r="C32" i="4"/>
  <c r="G32" i="4"/>
  <c r="F32" i="4"/>
  <c r="E32" i="4"/>
  <c r="J32" i="4"/>
  <c r="K32" i="4"/>
  <c r="C33" i="4"/>
  <c r="G33" i="4"/>
  <c r="F33" i="4"/>
  <c r="E33" i="4"/>
  <c r="J33" i="4"/>
  <c r="K33" i="4"/>
  <c r="M26" i="4"/>
  <c r="M27" i="4"/>
  <c r="M28" i="4"/>
  <c r="M29" i="4"/>
  <c r="M30" i="4"/>
  <c r="M31" i="4"/>
  <c r="M32" i="4"/>
  <c r="M33" i="4"/>
  <c r="N33" i="4"/>
  <c r="C36" i="4"/>
  <c r="G36" i="4"/>
  <c r="E36" i="4"/>
  <c r="J36" i="4"/>
  <c r="K36" i="4"/>
  <c r="C37" i="4"/>
  <c r="E37" i="4"/>
  <c r="J37" i="4"/>
  <c r="K37" i="4"/>
  <c r="M36" i="4"/>
  <c r="M37" i="4"/>
  <c r="N37" i="4"/>
  <c r="N40" i="4"/>
  <c r="G39" i="4"/>
  <c r="J39" i="4"/>
  <c r="C39" i="4"/>
  <c r="K39" i="4"/>
</calcChain>
</file>

<file path=xl/sharedStrings.xml><?xml version="1.0" encoding="utf-8"?>
<sst xmlns="http://schemas.openxmlformats.org/spreadsheetml/2006/main" count="107" uniqueCount="58">
  <si>
    <t>Evidence strength category</t>
  </si>
  <si>
    <t>Supporting</t>
  </si>
  <si>
    <t>Moderate</t>
  </si>
  <si>
    <t>Strong</t>
  </si>
  <si>
    <t>Very Strong</t>
  </si>
  <si>
    <t>Odds_Path</t>
  </si>
  <si>
    <t>Combining Rules</t>
  </si>
  <si>
    <t>Likely_Path</t>
  </si>
  <si>
    <t>(i)</t>
  </si>
  <si>
    <t>(ii)</t>
  </si>
  <si>
    <t>(iii)</t>
  </si>
  <si>
    <t>(iv)</t>
  </si>
  <si>
    <t>(v)</t>
  </si>
  <si>
    <t>(vi)</t>
  </si>
  <si>
    <t>Odds_Path=&gt;</t>
  </si>
  <si>
    <t>Prior_P</t>
  </si>
  <si>
    <t>Combined</t>
  </si>
  <si>
    <t>Post_P</t>
  </si>
  <si>
    <t>(ia)</t>
  </si>
  <si>
    <t>(ib)</t>
  </si>
  <si>
    <t>(ic)</t>
  </si>
  <si>
    <t>(id)</t>
  </si>
  <si>
    <t>(iiia)</t>
  </si>
  <si>
    <t>(iiib)</t>
  </si>
  <si>
    <t>(iiic)</t>
  </si>
  <si>
    <t>Benign</t>
  </si>
  <si>
    <t>Likely_Benign</t>
  </si>
  <si>
    <t>Evidence exponent</t>
  </si>
  <si>
    <t>Pathogenic</t>
  </si>
  <si>
    <t>Selecting any green cell will show you how that cell is related to one of the yellow cells</t>
  </si>
  <si>
    <t>The Benign categories just use the inverse of the strenght of the "Evidence strength category"</t>
  </si>
  <si>
    <t>Exact match Post_Ps</t>
  </si>
  <si>
    <t>Subtotal</t>
  </si>
  <si>
    <t>Total</t>
  </si>
  <si>
    <t>Prior Probability</t>
  </si>
  <si>
    <t>Odds Path "Very Strong"</t>
  </si>
  <si>
    <t>Exponential Progression</t>
  </si>
  <si>
    <t>1.  The overall prior probability in cell C10 (starting value = 0.10)</t>
  </si>
  <si>
    <t>2.  The Odds_Path for "Very Strong" in cell C11 (starting value = 350)</t>
  </si>
  <si>
    <t>3.  The exponent that sets the strength of Supporting/ Moderate/ Strong/  compared to "Very Strong", in cell C12 (starting value = 2.0)</t>
  </si>
  <si>
    <t>IN ORDER NOT TO DESTROY THIS SPREADSHEET, THE ONLY 3 NUMBERS THAT YOU CAN CHANGE IN THIS AREA ARE THE ONES IN YELLOW CELLS:</t>
  </si>
  <si>
    <t>Section 1: Modeling the existing ACMG combining criteria</t>
  </si>
  <si>
    <t>Section 2: Score your own combining criteria (2 at a time)</t>
  </si>
  <si>
    <t>This section uses the prior probability, odds path very strong, and exponential progression set above in the yellow cells</t>
  </si>
  <si>
    <t>In addition, you can specify how many data of each evidence strength to incorporate in a new rule</t>
  </si>
  <si>
    <t>These numbers are in the purple cells below</t>
  </si>
  <si>
    <t>I STRONGLY SUGGEST STICKING TO WHOLE NUMBERS BETWEEN 0 AND 4 !!</t>
  </si>
  <si>
    <t>First rule</t>
  </si>
  <si>
    <t>PATHOGENIC evidence strength categories</t>
  </si>
  <si>
    <t>BENIGN evidence strength categories</t>
  </si>
  <si>
    <t>Category</t>
  </si>
  <si>
    <t>Number of evidences</t>
  </si>
  <si>
    <t>Category odds_Path</t>
  </si>
  <si>
    <t>Second rule</t>
  </si>
  <si>
    <t>The goals in this section of Likely Pathogenic classifiers are (1) to have most Post_Ps between 0.90 and 0.99, and (2) to  have as many classifiers with identical Odds_Path and Post_P as possible.</t>
  </si>
  <si>
    <t>The goals in this section of Pathogenic classifiers are (1) to have most Post_Ps above 0.99, and (2) to  have as many pairs of classifiers with identical Odds_Path and Post_P as possible.</t>
  </si>
  <si>
    <t>Target Post_P below 0.001</t>
  </si>
  <si>
    <t>Target Post_Ps between 0.05 and 0.001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</si>
</sst>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.000"/>
    <numFmt numFmtId="166" formatCode="0.00000"/>
    <numFmt numFmtId="167" formatCode="0.0000"/>
  </numFmts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rgb="FF0000FF"/>
      </left>
      <right/>
      <top style="medium">
        <color rgb="FF0000FF"/>
      </top>
      <bottom/>
      <diagonal/>
    </border>
    <border>
      <left/>
      <right/>
      <top style="medium">
        <color rgb="FF0000FF"/>
      </top>
      <bottom/>
      <diagonal/>
    </border>
    <border>
      <left/>
      <right style="medium">
        <color rgb="FF0000FF"/>
      </right>
      <top style="medium">
        <color rgb="FF0000FF"/>
      </top>
      <bottom/>
      <diagonal/>
    </border>
    <border>
      <left style="medium">
        <color rgb="FF0000FF"/>
      </left>
      <right/>
      <top/>
      <bottom/>
      <diagonal/>
    </border>
    <border>
      <left/>
      <right style="medium">
        <color rgb="FF0000FF"/>
      </right>
      <top/>
      <bottom/>
      <diagonal/>
    </border>
    <border>
      <left style="medium">
        <color rgb="FF0000FF"/>
      </left>
      <right/>
      <top/>
      <bottom style="medium">
        <color rgb="FF0000FF"/>
      </bottom>
      <diagonal/>
    </border>
    <border>
      <left/>
      <right/>
      <top/>
      <bottom style="medium">
        <color rgb="FF0000FF"/>
      </bottom>
      <diagonal/>
    </border>
    <border>
      <left/>
      <right style="medium">
        <color rgb="FF0000FF"/>
      </right>
      <top/>
      <bottom style="medium">
        <color rgb="FF0000FF"/>
      </bottom>
      <diagonal/>
    </border>
    <border>
      <left style="medium">
        <color rgb="FF0000FF"/>
      </left>
      <right/>
      <top style="medium">
        <color rgb="FF0000FF"/>
      </top>
      <bottom style="medium">
        <color rgb="FF0000FF"/>
      </bottom>
      <diagonal/>
    </border>
    <border>
      <left/>
      <right/>
      <top style="medium">
        <color rgb="FF0000FF"/>
      </top>
      <bottom style="medium">
        <color rgb="FF0000FF"/>
      </bottom>
      <diagonal/>
    </border>
    <border>
      <left/>
      <right style="medium">
        <color rgb="FF0000FF"/>
      </right>
      <top style="medium">
        <color rgb="FF0000FF"/>
      </top>
      <bottom style="medium">
        <color rgb="FF0000FF"/>
      </bottom>
      <diagonal/>
    </border>
  </borders>
  <cellStyleXfs count="11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35">
    <xf numFmtId="0" fontId="0" fillId="0" borderId="0" xfId="0"/>
    <xf numFmtId="164" fontId="0" fillId="2" borderId="0" xfId="0" applyNumberFormat="1" applyFill="1"/>
    <xf numFmtId="2" fontId="0" fillId="0" borderId="0" xfId="0" applyNumberFormat="1"/>
    <xf numFmtId="2" fontId="0" fillId="2" borderId="0" xfId="0" applyNumberFormat="1" applyFill="1"/>
    <xf numFmtId="165" fontId="0" fillId="0" borderId="0" xfId="0" applyNumberFormat="1"/>
    <xf numFmtId="2" fontId="0" fillId="0" borderId="0" xfId="0" applyNumberFormat="1" applyFill="1"/>
    <xf numFmtId="0" fontId="0" fillId="0" borderId="0" xfId="0" applyFill="1"/>
    <xf numFmtId="164" fontId="0" fillId="0" borderId="0" xfId="0" applyNumberFormat="1" applyFill="1"/>
    <xf numFmtId="0" fontId="4" fillId="0" borderId="0" xfId="0" applyFont="1"/>
    <xf numFmtId="0" fontId="1" fillId="0" borderId="0" xfId="0" applyFont="1"/>
    <xf numFmtId="165" fontId="0" fillId="2" borderId="0" xfId="0" applyNumberFormat="1" applyFill="1"/>
    <xf numFmtId="1" fontId="0" fillId="0" borderId="0" xfId="0" applyNumberFormat="1"/>
    <xf numFmtId="165" fontId="0" fillId="2" borderId="0" xfId="0" applyNumberFormat="1" applyFill="1" applyAlignment="1">
      <alignment horizontal="right"/>
    </xf>
    <xf numFmtId="0" fontId="5" fillId="0" borderId="0" xfId="0" applyFont="1"/>
    <xf numFmtId="167" fontId="0" fillId="2" borderId="0" xfId="0" applyNumberFormat="1" applyFill="1"/>
    <xf numFmtId="166" fontId="0" fillId="2" borderId="0" xfId="0" applyNumberFormat="1" applyFill="1"/>
    <xf numFmtId="0" fontId="0" fillId="5" borderId="0" xfId="0" applyFill="1"/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0" fillId="0" borderId="12" xfId="0" applyBorder="1" applyAlignment="1">
      <alignment vertical="top" wrapText="1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0" fillId="0" borderId="1" xfId="0" applyBorder="1" applyAlignment="1">
      <alignment horizontal="center"/>
    </xf>
    <xf numFmtId="165" fontId="0" fillId="3" borderId="0" xfId="0" applyNumberFormat="1" applyFill="1" applyProtection="1">
      <protection locked="0"/>
    </xf>
    <xf numFmtId="0" fontId="0" fillId="3" borderId="0" xfId="0" applyFill="1" applyProtection="1">
      <protection locked="0"/>
    </xf>
    <xf numFmtId="0" fontId="0" fillId="4" borderId="0" xfId="0" applyFill="1" applyProtection="1">
      <protection locked="0"/>
    </xf>
  </cellXfs>
  <cellStyles count="11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9"/>
  <sheetViews>
    <sheetView tabSelected="1" workbookViewId="0">
      <selection activeCell="F12" sqref="F12"/>
    </sheetView>
  </sheetViews>
  <sheetFormatPr baseColWidth="10" defaultRowHeight="15" x14ac:dyDescent="0"/>
  <cols>
    <col min="1" max="1" width="13.1640625" customWidth="1"/>
    <col min="4" max="4" width="12" customWidth="1"/>
    <col min="5" max="8" width="9.6640625" customWidth="1"/>
    <col min="9" max="9" width="6" customWidth="1"/>
    <col min="12" max="12" width="6" customWidth="1"/>
    <col min="13" max="14" width="8.33203125" customWidth="1"/>
  </cols>
  <sheetData>
    <row r="1" spans="1:14" ht="18" customHeight="1">
      <c r="A1" s="13" t="s">
        <v>41</v>
      </c>
    </row>
    <row r="3" spans="1:14">
      <c r="A3" s="9" t="s">
        <v>40</v>
      </c>
    </row>
    <row r="4" spans="1:14">
      <c r="A4" t="s">
        <v>37</v>
      </c>
    </row>
    <row r="5" spans="1:14">
      <c r="A5" t="s">
        <v>38</v>
      </c>
    </row>
    <row r="6" spans="1:14">
      <c r="A6" t="s">
        <v>39</v>
      </c>
    </row>
    <row r="7" spans="1:14">
      <c r="A7" s="9" t="s">
        <v>29</v>
      </c>
    </row>
    <row r="8" spans="1:14">
      <c r="A8" s="9" t="s">
        <v>30</v>
      </c>
    </row>
    <row r="9" spans="1:14">
      <c r="A9" s="9"/>
    </row>
    <row r="10" spans="1:14">
      <c r="A10" s="9" t="s">
        <v>34</v>
      </c>
      <c r="C10" s="32">
        <v>0.1</v>
      </c>
    </row>
    <row r="11" spans="1:14">
      <c r="A11" s="9" t="s">
        <v>35</v>
      </c>
      <c r="C11" s="33">
        <v>350</v>
      </c>
    </row>
    <row r="12" spans="1:14">
      <c r="A12" s="9" t="s">
        <v>36</v>
      </c>
      <c r="C12" s="32">
        <v>2</v>
      </c>
    </row>
    <row r="13" spans="1:14">
      <c r="E13" t="s">
        <v>27</v>
      </c>
    </row>
    <row r="14" spans="1:14">
      <c r="E14" s="12">
        <f>C12^(-3)</f>
        <v>0.125</v>
      </c>
      <c r="F14" s="10">
        <f>C12^(-2)</f>
        <v>0.25</v>
      </c>
      <c r="G14" s="10">
        <f>C12^(-1)</f>
        <v>0.5</v>
      </c>
      <c r="H14" s="10">
        <f>C12^0</f>
        <v>1</v>
      </c>
    </row>
    <row r="15" spans="1:14">
      <c r="A15" t="s">
        <v>6</v>
      </c>
      <c r="C15" t="s">
        <v>15</v>
      </c>
      <c r="E15" t="s">
        <v>0</v>
      </c>
      <c r="M15" t="s">
        <v>31</v>
      </c>
    </row>
    <row r="16" spans="1:14">
      <c r="C16" s="10">
        <f>C10</f>
        <v>0.1</v>
      </c>
      <c r="E16" t="s">
        <v>1</v>
      </c>
      <c r="F16" t="s">
        <v>2</v>
      </c>
      <c r="G16" t="s">
        <v>3</v>
      </c>
      <c r="H16" t="s">
        <v>4</v>
      </c>
      <c r="J16" t="s">
        <v>16</v>
      </c>
      <c r="K16" t="s">
        <v>17</v>
      </c>
      <c r="M16" t="s">
        <v>32</v>
      </c>
      <c r="N16" s="29" t="s">
        <v>33</v>
      </c>
    </row>
    <row r="17" spans="1:17">
      <c r="D17" t="s">
        <v>14</v>
      </c>
      <c r="E17" s="3">
        <f>C11^E14</f>
        <v>2.0797374178179586</v>
      </c>
      <c r="F17" s="3">
        <f>C11^F14</f>
        <v>4.3253077270721105</v>
      </c>
      <c r="G17" s="1">
        <f>C11^G14</f>
        <v>18.708286933869708</v>
      </c>
      <c r="H17" s="1">
        <f>C11^H14</f>
        <v>350</v>
      </c>
      <c r="J17" t="s">
        <v>5</v>
      </c>
      <c r="N17" s="29"/>
    </row>
    <row r="18" spans="1:17" ht="16" thickBot="1">
      <c r="N18" s="29"/>
    </row>
    <row r="19" spans="1:17">
      <c r="A19" t="s">
        <v>7</v>
      </c>
      <c r="B19" t="s">
        <v>8</v>
      </c>
      <c r="C19" s="3">
        <f>C$16</f>
        <v>0.1</v>
      </c>
      <c r="E19" s="16">
        <v>1</v>
      </c>
      <c r="F19" s="1">
        <f>F17</f>
        <v>4.3253077270721105</v>
      </c>
      <c r="G19" s="16">
        <v>1</v>
      </c>
      <c r="H19" s="1">
        <f>H17</f>
        <v>350</v>
      </c>
      <c r="J19" s="3">
        <f>E19*F19*G19*H19</f>
        <v>1513.8577044752387</v>
      </c>
      <c r="K19" s="10">
        <f>(J19*C19)/((J19-1)*C19+1)</f>
        <v>0.99409005846471954</v>
      </c>
      <c r="L19" s="6"/>
      <c r="M19" s="11">
        <f>(1*(K19=K20))+(1*(K19=K21))+(1*(K19=K22))+(1*(K19=K23))+(1*(K19=K24))</f>
        <v>0</v>
      </c>
      <c r="N19" s="29"/>
      <c r="O19" s="17" t="s">
        <v>54</v>
      </c>
      <c r="P19" s="18"/>
      <c r="Q19" s="19"/>
    </row>
    <row r="20" spans="1:17">
      <c r="A20" t="s">
        <v>7</v>
      </c>
      <c r="B20" t="s">
        <v>9</v>
      </c>
      <c r="C20" s="3">
        <f t="shared" ref="C20:C24" si="0">C$16</f>
        <v>0.1</v>
      </c>
      <c r="E20" s="16">
        <v>1</v>
      </c>
      <c r="F20" s="1">
        <f>F19</f>
        <v>4.3253077270721105</v>
      </c>
      <c r="G20" s="1">
        <f>G17</f>
        <v>18.708286933869708</v>
      </c>
      <c r="H20" s="16">
        <v>1</v>
      </c>
      <c r="J20" s="3">
        <f t="shared" ref="J20:J33" si="1">E20*F20*G20*H20</f>
        <v>80.919098035348853</v>
      </c>
      <c r="K20" s="10">
        <f t="shared" ref="K20:K24" si="2">(J20*C20)/((J20-1)*C20+1)</f>
        <v>0.89991002805141662</v>
      </c>
      <c r="M20" s="11">
        <f>(1*(K20=K19))+(1*(K20=K21))+(1*(K20=K22))+(1*(K20=K23))+(1*(K20=K24))</f>
        <v>4</v>
      </c>
      <c r="N20" s="29"/>
      <c r="O20" s="20"/>
      <c r="P20" s="21"/>
      <c r="Q20" s="22"/>
    </row>
    <row r="21" spans="1:17">
      <c r="A21" t="s">
        <v>7</v>
      </c>
      <c r="B21" t="s">
        <v>10</v>
      </c>
      <c r="C21" s="3">
        <f t="shared" si="0"/>
        <v>0.1</v>
      </c>
      <c r="E21" s="3">
        <f>E17^2</f>
        <v>4.3253077270721105</v>
      </c>
      <c r="F21" s="16">
        <v>1</v>
      </c>
      <c r="G21" s="1">
        <f>G17</f>
        <v>18.708286933869708</v>
      </c>
      <c r="H21" s="16">
        <v>1</v>
      </c>
      <c r="J21" s="3">
        <f t="shared" si="1"/>
        <v>80.919098035348853</v>
      </c>
      <c r="K21" s="10">
        <f t="shared" si="2"/>
        <v>0.89991002805141662</v>
      </c>
      <c r="M21" s="11">
        <f>(1*(K21=K19))+(1*(K21=K20))+(1*(K21=K22))+(1*(K21=K23))+(1*(K21=K24))</f>
        <v>4</v>
      </c>
      <c r="N21" s="29"/>
      <c r="O21" s="20"/>
      <c r="P21" s="21"/>
      <c r="Q21" s="22"/>
    </row>
    <row r="22" spans="1:17">
      <c r="A22" t="s">
        <v>7</v>
      </c>
      <c r="B22" t="s">
        <v>11</v>
      </c>
      <c r="C22" s="3">
        <f t="shared" si="0"/>
        <v>0.1</v>
      </c>
      <c r="E22" s="16">
        <v>1</v>
      </c>
      <c r="F22" s="1">
        <f>F17^3</f>
        <v>80.919098035348853</v>
      </c>
      <c r="G22" s="16">
        <v>1</v>
      </c>
      <c r="H22" s="16">
        <v>1</v>
      </c>
      <c r="J22" s="3">
        <f t="shared" si="1"/>
        <v>80.919098035348853</v>
      </c>
      <c r="K22" s="10">
        <f t="shared" si="2"/>
        <v>0.89991002805141662</v>
      </c>
      <c r="M22" s="11">
        <f>(1*(K22=K19))+(1*(K22=K20))+(1*(K22=K21))+(1*(K22=K23))+(1*(K22=K24))</f>
        <v>4</v>
      </c>
      <c r="N22" s="29"/>
      <c r="O22" s="20"/>
      <c r="P22" s="21"/>
      <c r="Q22" s="22"/>
    </row>
    <row r="23" spans="1:17">
      <c r="A23" t="s">
        <v>7</v>
      </c>
      <c r="B23" t="s">
        <v>12</v>
      </c>
      <c r="C23" s="3">
        <f t="shared" si="0"/>
        <v>0.1</v>
      </c>
      <c r="E23" s="3">
        <f>E17^2</f>
        <v>4.3253077270721105</v>
      </c>
      <c r="F23" s="1">
        <f>F17^2</f>
        <v>18.708286933869708</v>
      </c>
      <c r="G23" s="16">
        <v>1</v>
      </c>
      <c r="H23" s="16">
        <v>1</v>
      </c>
      <c r="J23" s="3">
        <f t="shared" si="1"/>
        <v>80.919098035348853</v>
      </c>
      <c r="K23" s="10">
        <f t="shared" si="2"/>
        <v>0.89991002805141662</v>
      </c>
      <c r="M23" s="11">
        <f>(1*(K23=K19))+(1*(K23=K20))+(1*(K23=K21))+(1*(K23=K22))+(1*(K23=K24))</f>
        <v>4</v>
      </c>
      <c r="N23" s="29"/>
      <c r="O23" s="20"/>
      <c r="P23" s="21"/>
      <c r="Q23" s="22"/>
    </row>
    <row r="24" spans="1:17" ht="16" thickBot="1">
      <c r="A24" t="s">
        <v>7</v>
      </c>
      <c r="B24" t="s">
        <v>13</v>
      </c>
      <c r="C24" s="3">
        <f t="shared" si="0"/>
        <v>0.1</v>
      </c>
      <c r="E24" s="3">
        <f>E17^4</f>
        <v>18.708286933869708</v>
      </c>
      <c r="F24" s="1">
        <f>F17</f>
        <v>4.3253077270721105</v>
      </c>
      <c r="G24" s="16">
        <v>1</v>
      </c>
      <c r="H24" s="16">
        <v>1</v>
      </c>
      <c r="J24" s="3">
        <f t="shared" si="1"/>
        <v>80.919098035348853</v>
      </c>
      <c r="K24" s="10">
        <f t="shared" si="2"/>
        <v>0.89991002805141662</v>
      </c>
      <c r="M24" s="11">
        <f>(1*(K24=K19))+(1*(K24=K20))+(1*(K24=K21))+(1*(K24=K22))+(1*(K24=K23))</f>
        <v>4</v>
      </c>
      <c r="N24" s="29">
        <f>(SUM(M19:M24))/2</f>
        <v>10</v>
      </c>
      <c r="O24" s="23"/>
      <c r="P24" s="24"/>
      <c r="Q24" s="25"/>
    </row>
    <row r="25" spans="1:17" ht="16" thickBot="1">
      <c r="C25" s="5"/>
      <c r="D25" s="6"/>
      <c r="E25" s="5"/>
      <c r="F25" s="7"/>
      <c r="G25" s="6"/>
      <c r="H25" s="6"/>
      <c r="J25" s="2"/>
      <c r="K25" s="4"/>
      <c r="N25" s="29"/>
    </row>
    <row r="26" spans="1:17" ht="15" customHeight="1">
      <c r="A26" t="s">
        <v>28</v>
      </c>
      <c r="B26" t="s">
        <v>18</v>
      </c>
      <c r="C26" s="3">
        <f t="shared" ref="C26:C33" si="3">C$16</f>
        <v>0.1</v>
      </c>
      <c r="E26" s="16">
        <v>1</v>
      </c>
      <c r="F26" s="16">
        <v>1</v>
      </c>
      <c r="G26" s="1">
        <f>G17</f>
        <v>18.708286933869708</v>
      </c>
      <c r="H26" s="1">
        <f>H17</f>
        <v>350</v>
      </c>
      <c r="J26" s="3">
        <f t="shared" si="1"/>
        <v>6547.9004268543977</v>
      </c>
      <c r="K26" s="10">
        <f t="shared" ref="K26:K33" si="4">(J26*C26)/((J26-1)*C26+1)</f>
        <v>0.99862740023271679</v>
      </c>
      <c r="M26" s="11">
        <f>(1*(K26=K27))+(1*(K26=K28))+(1*(K26=K29))+(1*(K26=K30))+(1*(K26=K31))+(1*(K26=K32))+(1*(K26=K33))</f>
        <v>1</v>
      </c>
      <c r="N26" s="29"/>
      <c r="O26" s="17" t="s">
        <v>55</v>
      </c>
      <c r="P26" s="18"/>
      <c r="Q26" s="19"/>
    </row>
    <row r="27" spans="1:17">
      <c r="A27" t="s">
        <v>28</v>
      </c>
      <c r="B27" t="s">
        <v>19</v>
      </c>
      <c r="C27" s="3">
        <f t="shared" si="3"/>
        <v>0.1</v>
      </c>
      <c r="E27" s="16">
        <v>1</v>
      </c>
      <c r="F27" s="1">
        <f>F17^2</f>
        <v>18.708286933869708</v>
      </c>
      <c r="G27" s="16">
        <v>1</v>
      </c>
      <c r="H27" s="1">
        <f>H17</f>
        <v>350</v>
      </c>
      <c r="J27" s="3">
        <f t="shared" si="1"/>
        <v>6547.9004268543977</v>
      </c>
      <c r="K27" s="10">
        <f t="shared" si="4"/>
        <v>0.99862740023271679</v>
      </c>
      <c r="M27" s="11">
        <f>(1*(K27=K26))+(1*(K27=K28))+(1*(K27=K29))+(1*(K27=K30))+(1*(K27=K31))+(1*(K27=K32))+(1*(K27=K33))</f>
        <v>1</v>
      </c>
      <c r="N27" s="29"/>
      <c r="O27" s="20"/>
      <c r="P27" s="21"/>
      <c r="Q27" s="22"/>
    </row>
    <row r="28" spans="1:17">
      <c r="A28" t="s">
        <v>28</v>
      </c>
      <c r="B28" t="s">
        <v>20</v>
      </c>
      <c r="C28" s="3">
        <f t="shared" si="3"/>
        <v>0.1</v>
      </c>
      <c r="E28" s="1">
        <f>E17</f>
        <v>2.0797374178179586</v>
      </c>
      <c r="F28" s="1">
        <f>F17</f>
        <v>4.3253077270721105</v>
      </c>
      <c r="G28" s="16">
        <v>1</v>
      </c>
      <c r="H28" s="1">
        <f>H17</f>
        <v>350</v>
      </c>
      <c r="J28" s="3">
        <f t="shared" si="1"/>
        <v>3148.4265132491555</v>
      </c>
      <c r="K28" s="10">
        <f t="shared" si="4"/>
        <v>0.99714957736554288</v>
      </c>
      <c r="M28" s="11">
        <f>(1*(K28=K26))+(1*(K28=K27))+(1*(K28=K29))+(1*(K28=K30))+(1*(K28=K31))+(1*(K28=K32))+(1*(K28=K33))</f>
        <v>0</v>
      </c>
      <c r="N28" s="29"/>
      <c r="O28" s="20"/>
      <c r="P28" s="21"/>
      <c r="Q28" s="22"/>
    </row>
    <row r="29" spans="1:17">
      <c r="A29" t="s">
        <v>28</v>
      </c>
      <c r="B29" t="s">
        <v>21</v>
      </c>
      <c r="C29" s="3">
        <f t="shared" si="3"/>
        <v>0.1</v>
      </c>
      <c r="E29" s="1">
        <f>E17^2</f>
        <v>4.3253077270721105</v>
      </c>
      <c r="F29" s="16">
        <v>1</v>
      </c>
      <c r="G29" s="16">
        <v>1</v>
      </c>
      <c r="H29" s="1">
        <f>H17</f>
        <v>350</v>
      </c>
      <c r="J29" s="3">
        <f t="shared" si="1"/>
        <v>1513.8577044752387</v>
      </c>
      <c r="K29" s="10">
        <f t="shared" si="4"/>
        <v>0.99409005846471954</v>
      </c>
      <c r="M29" s="11">
        <f>(1*(K29=K26))+(1*(K29=K27))+(1*(K29=K28))+(1*(K29=K30))+(1*(K29=K31))+(1*(K29=K32))+(1*(K29=K33))</f>
        <v>3</v>
      </c>
      <c r="N29" s="29"/>
      <c r="O29" s="20"/>
      <c r="P29" s="21"/>
      <c r="Q29" s="22"/>
    </row>
    <row r="30" spans="1:17">
      <c r="A30" t="s">
        <v>28</v>
      </c>
      <c r="B30" t="s">
        <v>9</v>
      </c>
      <c r="C30" s="3">
        <f t="shared" si="3"/>
        <v>0.1</v>
      </c>
      <c r="E30" s="16">
        <v>1</v>
      </c>
      <c r="F30" s="16">
        <v>1</v>
      </c>
      <c r="G30" s="1">
        <f>G17^2</f>
        <v>350.00000000000006</v>
      </c>
      <c r="H30" s="16">
        <v>1</v>
      </c>
      <c r="J30" s="3">
        <f t="shared" si="1"/>
        <v>350.00000000000006</v>
      </c>
      <c r="K30" s="10">
        <f t="shared" si="4"/>
        <v>0.97493036211699169</v>
      </c>
      <c r="L30" s="6"/>
      <c r="M30" s="11">
        <f>(1*(K30=K26))+(1*(K30=K27))+(1*(K30=K28))+(1*(K30=K29))+(1*(K30=K31))+(1*(K30=K32))+(1*(K30=K33))</f>
        <v>0</v>
      </c>
      <c r="N30" s="30"/>
      <c r="O30" s="20"/>
      <c r="P30" s="21"/>
      <c r="Q30" s="22"/>
    </row>
    <row r="31" spans="1:17">
      <c r="A31" t="s">
        <v>28</v>
      </c>
      <c r="B31" t="s">
        <v>22</v>
      </c>
      <c r="C31" s="3">
        <f t="shared" si="3"/>
        <v>0.1</v>
      </c>
      <c r="E31" s="16">
        <v>1</v>
      </c>
      <c r="F31" s="1">
        <f>F17^3</f>
        <v>80.919098035348853</v>
      </c>
      <c r="G31" s="3">
        <f>G17</f>
        <v>18.708286933869708</v>
      </c>
      <c r="H31" s="16">
        <v>1</v>
      </c>
      <c r="J31" s="3">
        <f t="shared" si="1"/>
        <v>1513.857704475239</v>
      </c>
      <c r="K31" s="10">
        <f t="shared" si="4"/>
        <v>0.99409005846471954</v>
      </c>
      <c r="M31" s="11">
        <f>(1*(K31=K26))+(1*(K31=K27))+(1*(K31=K28))+(1*(K31=K29))+(1*(K31=K30))+(1*(K31=K32))+(1*(K31=K33))</f>
        <v>3</v>
      </c>
      <c r="N31" s="29"/>
      <c r="O31" s="20"/>
      <c r="P31" s="21"/>
      <c r="Q31" s="22"/>
    </row>
    <row r="32" spans="1:17">
      <c r="A32" t="s">
        <v>28</v>
      </c>
      <c r="B32" t="s">
        <v>23</v>
      </c>
      <c r="C32" s="3">
        <f t="shared" si="3"/>
        <v>0.1</v>
      </c>
      <c r="E32" s="1">
        <f>E17^2</f>
        <v>4.3253077270721105</v>
      </c>
      <c r="F32" s="1">
        <f>F17^2</f>
        <v>18.708286933869708</v>
      </c>
      <c r="G32" s="3">
        <f>G17</f>
        <v>18.708286933869708</v>
      </c>
      <c r="H32" s="16">
        <v>1</v>
      </c>
      <c r="J32" s="3">
        <f t="shared" si="1"/>
        <v>1513.857704475239</v>
      </c>
      <c r="K32" s="10">
        <f t="shared" si="4"/>
        <v>0.99409005846471954</v>
      </c>
      <c r="M32" s="11">
        <f>(1*(K32=K26))+(1*(K32=K27))+(1*(K32=K28))+(1*(K32=K29))+(1*(K32=K30))+(1*(K32=K31))+(1*(K32=K33))</f>
        <v>3</v>
      </c>
      <c r="N32" s="29"/>
      <c r="O32" s="20"/>
      <c r="P32" s="21"/>
      <c r="Q32" s="22"/>
    </row>
    <row r="33" spans="1:17" ht="16" thickBot="1">
      <c r="B33" t="s">
        <v>24</v>
      </c>
      <c r="C33" s="3">
        <f t="shared" si="3"/>
        <v>0.1</v>
      </c>
      <c r="E33" s="1">
        <f>E17^4</f>
        <v>18.708286933869708</v>
      </c>
      <c r="F33" s="1">
        <f>F17</f>
        <v>4.3253077270721105</v>
      </c>
      <c r="G33" s="3">
        <f>G17</f>
        <v>18.708286933869708</v>
      </c>
      <c r="H33" s="16">
        <v>1</v>
      </c>
      <c r="J33" s="3">
        <f t="shared" si="1"/>
        <v>1513.857704475239</v>
      </c>
      <c r="K33" s="10">
        <f t="shared" si="4"/>
        <v>0.99409005846471954</v>
      </c>
      <c r="M33" s="11">
        <f>(1*(K33=K26))+(1*(K33=K27))+(1*(K33=K28))+(1*(K33=K29))+(1*(K33=K30))+(1*(K33=K31))+(1*(K33=K32))</f>
        <v>3</v>
      </c>
      <c r="N33" s="29">
        <f>(SUM(M26:M33))/2</f>
        <v>7</v>
      </c>
      <c r="O33" s="23"/>
      <c r="P33" s="24"/>
      <c r="Q33" s="25"/>
    </row>
    <row r="34" spans="1:17">
      <c r="N34" s="29"/>
    </row>
    <row r="35" spans="1:17" ht="16" thickBot="1">
      <c r="N35" s="29"/>
    </row>
    <row r="36" spans="1:17">
      <c r="A36" t="s">
        <v>26</v>
      </c>
      <c r="B36" t="s">
        <v>8</v>
      </c>
      <c r="C36" s="3">
        <f t="shared" ref="C36:C37" si="5">C$16</f>
        <v>0.1</v>
      </c>
      <c r="E36" s="3">
        <f>E17^-1</f>
        <v>0.48082993142912761</v>
      </c>
      <c r="F36" s="16">
        <v>1</v>
      </c>
      <c r="G36" s="3">
        <f>G17^-1</f>
        <v>5.3452248382484871E-2</v>
      </c>
      <c r="H36" s="16">
        <v>1</v>
      </c>
      <c r="J36" s="10">
        <f t="shared" ref="J36:J37" si="6">E36*F36*G36*H36</f>
        <v>2.5701440924482899E-2</v>
      </c>
      <c r="K36" s="10">
        <f t="shared" ref="K36:K37" si="7">(J36*C36)/((J36-1)*C36+1)</f>
        <v>2.8475837687192943E-3</v>
      </c>
      <c r="M36" s="11">
        <f>(1*(K36=K37))</f>
        <v>0</v>
      </c>
      <c r="N36" s="29"/>
      <c r="O36" s="17" t="s">
        <v>57</v>
      </c>
      <c r="P36" s="18"/>
      <c r="Q36" s="19"/>
    </row>
    <row r="37" spans="1:17" ht="16" thickBot="1">
      <c r="A37" s="8" t="s">
        <v>26</v>
      </c>
      <c r="B37" t="s">
        <v>9</v>
      </c>
      <c r="C37" s="3">
        <f t="shared" si="5"/>
        <v>0.1</v>
      </c>
      <c r="E37" s="3">
        <f>E17^-2</f>
        <v>0.23119742295813955</v>
      </c>
      <c r="F37" s="16">
        <v>1</v>
      </c>
      <c r="G37" s="16">
        <v>1</v>
      </c>
      <c r="H37" s="16">
        <v>1</v>
      </c>
      <c r="J37" s="10">
        <f t="shared" si="6"/>
        <v>0.23119742295813955</v>
      </c>
      <c r="K37" s="10">
        <f t="shared" si="7"/>
        <v>2.5045225702046817E-2</v>
      </c>
      <c r="M37" s="11">
        <f>(1*(K37=K36))</f>
        <v>0</v>
      </c>
      <c r="N37" s="29">
        <f>(SUM(M36:M37))/2</f>
        <v>0</v>
      </c>
      <c r="O37" s="23"/>
      <c r="P37" s="24"/>
      <c r="Q37" s="25"/>
    </row>
    <row r="38" spans="1:17" ht="16" thickBot="1">
      <c r="E38" s="2"/>
      <c r="F38" s="2"/>
      <c r="G38" s="2"/>
      <c r="H38" s="2"/>
      <c r="J38" s="4"/>
      <c r="N38" s="29"/>
    </row>
    <row r="39" spans="1:17" ht="16" thickBot="1">
      <c r="A39" t="s">
        <v>25</v>
      </c>
      <c r="B39" t="s">
        <v>9</v>
      </c>
      <c r="C39" s="3">
        <f t="shared" ref="C39" si="8">C$16</f>
        <v>0.1</v>
      </c>
      <c r="E39" s="16">
        <v>1</v>
      </c>
      <c r="F39" s="16">
        <v>1</v>
      </c>
      <c r="G39" s="10">
        <f>G17^-2</f>
        <v>2.8571428571428567E-3</v>
      </c>
      <c r="H39" s="16">
        <v>1</v>
      </c>
      <c r="J39" s="10">
        <f t="shared" ref="J39" si="9">E39*F39*G39*H39</f>
        <v>2.8571428571428567E-3</v>
      </c>
      <c r="K39" s="15">
        <f t="shared" ref="K39" si="10">(J39*C39)/((J39-1)*C39+1)</f>
        <v>3.1735956839098697E-4</v>
      </c>
      <c r="N39" s="29"/>
      <c r="O39" s="26" t="s">
        <v>56</v>
      </c>
      <c r="P39" s="27"/>
      <c r="Q39" s="28"/>
    </row>
    <row r="40" spans="1:17" ht="17" thickTop="1" thickBot="1">
      <c r="N40" s="31">
        <f>N24+N33+N37</f>
        <v>17</v>
      </c>
    </row>
    <row r="41" spans="1:17" ht="16" thickTop="1"/>
    <row r="42" spans="1:17" ht="18">
      <c r="A42" s="13" t="s">
        <v>42</v>
      </c>
    </row>
    <row r="44" spans="1:17">
      <c r="A44" t="s">
        <v>43</v>
      </c>
    </row>
    <row r="45" spans="1:17">
      <c r="A45" t="s">
        <v>44</v>
      </c>
    </row>
    <row r="46" spans="1:17">
      <c r="A46" t="s">
        <v>45</v>
      </c>
    </row>
    <row r="47" spans="1:17">
      <c r="A47" t="s">
        <v>46</v>
      </c>
    </row>
    <row r="49" spans="1:11">
      <c r="A49" t="s">
        <v>47</v>
      </c>
      <c r="C49" t="s">
        <v>48</v>
      </c>
      <c r="J49" t="s">
        <v>16</v>
      </c>
      <c r="K49" t="s">
        <v>17</v>
      </c>
    </row>
    <row r="50" spans="1:11">
      <c r="C50" t="s">
        <v>50</v>
      </c>
      <c r="E50" t="s">
        <v>1</v>
      </c>
      <c r="F50" t="s">
        <v>2</v>
      </c>
      <c r="G50" t="s">
        <v>3</v>
      </c>
      <c r="H50" t="s">
        <v>4</v>
      </c>
      <c r="J50" t="s">
        <v>5</v>
      </c>
    </row>
    <row r="51" spans="1:11">
      <c r="C51" t="s">
        <v>51</v>
      </c>
      <c r="E51" s="34">
        <v>0</v>
      </c>
      <c r="F51" s="34">
        <v>0</v>
      </c>
      <c r="G51" s="34">
        <v>2</v>
      </c>
      <c r="H51" s="34">
        <v>0</v>
      </c>
    </row>
    <row r="52" spans="1:11">
      <c r="C52" t="s">
        <v>52</v>
      </c>
      <c r="E52" s="3">
        <f>E17^E51</f>
        <v>1</v>
      </c>
      <c r="F52" s="1">
        <f t="shared" ref="F52:H52" si="11">F17^F51</f>
        <v>1</v>
      </c>
      <c r="G52" s="1">
        <f t="shared" si="11"/>
        <v>350.00000000000006</v>
      </c>
      <c r="H52" s="1">
        <f t="shared" si="11"/>
        <v>1</v>
      </c>
    </row>
    <row r="53" spans="1:11">
      <c r="J53" s="3">
        <f>E52*F52*G52*H52*E57*F57*G57*H57</f>
        <v>80.919098035348853</v>
      </c>
      <c r="K53" s="10">
        <f>(J53*C10)/((J53-1)*C10+1)</f>
        <v>0.89991002805141662</v>
      </c>
    </row>
    <row r="54" spans="1:11">
      <c r="C54" t="s">
        <v>49</v>
      </c>
    </row>
    <row r="55" spans="1:11">
      <c r="C55" t="s">
        <v>50</v>
      </c>
      <c r="E55" t="s">
        <v>1</v>
      </c>
      <c r="F55" t="s">
        <v>2</v>
      </c>
      <c r="G55" t="s">
        <v>3</v>
      </c>
      <c r="H55" t="s">
        <v>4</v>
      </c>
    </row>
    <row r="56" spans="1:11">
      <c r="C56" t="s">
        <v>51</v>
      </c>
      <c r="E56" s="34">
        <v>2</v>
      </c>
      <c r="F56" s="34">
        <v>0</v>
      </c>
      <c r="G56" s="34">
        <v>0</v>
      </c>
      <c r="H56" s="34">
        <v>0</v>
      </c>
    </row>
    <row r="57" spans="1:11">
      <c r="C57" t="s">
        <v>52</v>
      </c>
      <c r="E57" s="3">
        <f>E17^((-1)*E56)</f>
        <v>0.23119742295813955</v>
      </c>
      <c r="F57" s="10">
        <f t="shared" ref="F57:H57" si="12">F17^((-1)*F56)</f>
        <v>1</v>
      </c>
      <c r="G57" s="10">
        <f t="shared" si="12"/>
        <v>1</v>
      </c>
      <c r="H57" s="14">
        <f t="shared" si="12"/>
        <v>1</v>
      </c>
    </row>
    <row r="61" spans="1:11">
      <c r="A61" t="s">
        <v>53</v>
      </c>
      <c r="C61" t="s">
        <v>48</v>
      </c>
      <c r="J61" t="s">
        <v>16</v>
      </c>
      <c r="K61" t="s">
        <v>17</v>
      </c>
    </row>
    <row r="62" spans="1:11">
      <c r="C62" t="s">
        <v>50</v>
      </c>
      <c r="E62" t="s">
        <v>1</v>
      </c>
      <c r="F62" t="s">
        <v>2</v>
      </c>
      <c r="G62" t="s">
        <v>3</v>
      </c>
      <c r="H62" t="s">
        <v>4</v>
      </c>
      <c r="J62" t="s">
        <v>5</v>
      </c>
    </row>
    <row r="63" spans="1:11">
      <c r="C63" t="s">
        <v>51</v>
      </c>
      <c r="E63" s="34">
        <v>0</v>
      </c>
      <c r="F63" s="34">
        <v>0</v>
      </c>
      <c r="G63" s="34">
        <v>2</v>
      </c>
      <c r="H63" s="34">
        <v>0</v>
      </c>
    </row>
    <row r="64" spans="1:11">
      <c r="C64" t="s">
        <v>52</v>
      </c>
      <c r="E64" s="3">
        <f>E17^E63</f>
        <v>1</v>
      </c>
      <c r="F64" s="1">
        <f>F17^F63</f>
        <v>1</v>
      </c>
      <c r="G64" s="1">
        <f>G17^G63</f>
        <v>350.00000000000006</v>
      </c>
      <c r="H64" s="1">
        <f>H17^H63</f>
        <v>1</v>
      </c>
    </row>
    <row r="65" spans="3:11">
      <c r="J65" s="3">
        <f>E64*F64*G64*H64*E69*F69*G69*H69</f>
        <v>18.708286933869708</v>
      </c>
      <c r="K65" s="10">
        <f>(J65*C10)/((J65-1)*C10+1)</f>
        <v>0.67518742600435933</v>
      </c>
    </row>
    <row r="66" spans="3:11">
      <c r="C66" t="s">
        <v>49</v>
      </c>
    </row>
    <row r="67" spans="3:11">
      <c r="C67" t="s">
        <v>50</v>
      </c>
      <c r="E67" t="s">
        <v>1</v>
      </c>
      <c r="F67" t="s">
        <v>2</v>
      </c>
      <c r="G67" t="s">
        <v>3</v>
      </c>
      <c r="H67" t="s">
        <v>4</v>
      </c>
    </row>
    <row r="68" spans="3:11">
      <c r="C68" t="s">
        <v>51</v>
      </c>
      <c r="E68" s="34">
        <v>0</v>
      </c>
      <c r="F68" s="34">
        <v>0</v>
      </c>
      <c r="G68" s="34">
        <v>1</v>
      </c>
      <c r="H68" s="34">
        <v>0</v>
      </c>
    </row>
    <row r="69" spans="3:11">
      <c r="C69" t="s">
        <v>52</v>
      </c>
      <c r="E69" s="3">
        <f>E17^((-1)*E68)</f>
        <v>1</v>
      </c>
      <c r="F69" s="10">
        <f>F17^((-1)*F68)</f>
        <v>1</v>
      </c>
      <c r="G69" s="10">
        <f>G17^((-1)*G68)</f>
        <v>5.3452248382484871E-2</v>
      </c>
      <c r="H69" s="14">
        <f>H17^((-1)*H68)</f>
        <v>1</v>
      </c>
    </row>
  </sheetData>
  <sheetProtection password="CD16" sheet="1" objects="1" scenarios="1" formatCells="0"/>
  <mergeCells count="4">
    <mergeCell ref="O19:Q24"/>
    <mergeCell ref="O26:Q33"/>
    <mergeCell ref="O36:Q37"/>
    <mergeCell ref="O39:Q39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ACMG_.10</vt:lpstr>
    </vt:vector>
  </TitlesOfParts>
  <Company>University of Utah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Tavtigian</dc:creator>
  <cp:lastModifiedBy>Sean Tavtigian</cp:lastModifiedBy>
  <dcterms:created xsi:type="dcterms:W3CDTF">2016-12-23T16:44:57Z</dcterms:created>
  <dcterms:modified xsi:type="dcterms:W3CDTF">2017-08-29T19:21:23Z</dcterms:modified>
</cp:coreProperties>
</file>